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local storage_myfiles_vishwanath\"/>
    </mc:Choice>
  </mc:AlternateContent>
  <xr:revisionPtr revIDLastSave="0" documentId="13_ncr:1_{AC589912-6434-4266-9D5F-B3B212F4D6C1}" xr6:coauthVersionLast="47" xr6:coauthVersionMax="47" xr10:uidLastSave="{00000000-0000-0000-0000-000000000000}"/>
  <bookViews>
    <workbookView xWindow="-108" yWindow="-108" windowWidth="23256" windowHeight="12456" xr2:uid="{00000000-000D-0000-FFFF-FFFF00000000}"/>
  </bookViews>
  <sheets>
    <sheet name="DASHBOARD" sheetId="6" r:id="rId1"/>
    <sheet name="Carrier_KPI" sheetId="1" r:id="rId2"/>
    <sheet name="Regional_Analysis" sheetId="2" r:id="rId3"/>
    <sheet name="Weather_Impact" sheetId="3" r:id="rId4"/>
    <sheet name="Vehicle_Trends" sheetId="4" r:id="rId5"/>
    <sheet name="Financial_Impact" sheetId="5" r:id="rId6"/>
  </sheets>
  <definedNames>
    <definedName name="Slicer_delivery_partner">#N/A</definedName>
  </definedNames>
  <calcPr calcId="162913"/>
  <pivotCaches>
    <pivotCache cacheId="3" r:id="rId7"/>
    <pivotCache cacheId="7" r:id="rId8"/>
    <pivotCache cacheId="11" r:id="rId9"/>
    <pivotCache cacheId="15" r:id="rId10"/>
    <pivotCache cacheId="19"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<sst xmlns="http://schemas.openxmlformats.org/spreadsheetml/2006/main" count="91" uniqueCount="54">
  <si>
    <t>delivery_partner</t>
  </si>
  <si>
    <t>total_shipments</t>
  </si>
  <si>
    <t>late_deliveries</t>
  </si>
  <si>
    <t>delay_percentage</t>
  </si>
  <si>
    <t>shadowfax</t>
  </si>
  <si>
    <t>fedex</t>
  </si>
  <si>
    <t>dhl</t>
  </si>
  <si>
    <t>amazon logistics</t>
  </si>
  <si>
    <t>ekart</t>
  </si>
  <si>
    <t>delhivery</t>
  </si>
  <si>
    <t>blue dart</t>
  </si>
  <si>
    <t>ecom express</t>
  </si>
  <si>
    <t>xpressbees</t>
  </si>
  <si>
    <t>region</t>
  </si>
  <si>
    <t>total_volumne</t>
  </si>
  <si>
    <t>late_count</t>
  </si>
  <si>
    <t>west</t>
  </si>
  <si>
    <t>central</t>
  </si>
  <si>
    <t>north</t>
  </si>
  <si>
    <t>south</t>
  </si>
  <si>
    <t>east</t>
  </si>
  <si>
    <t>weather_condition</t>
  </si>
  <si>
    <t>exceptions</t>
  </si>
  <si>
    <t>avg_cost</t>
  </si>
  <si>
    <t>foggy</t>
  </si>
  <si>
    <t>cold</t>
  </si>
  <si>
    <t>stormy</t>
  </si>
  <si>
    <t>rainy</t>
  </si>
  <si>
    <t>hot</t>
  </si>
  <si>
    <t>clear</t>
  </si>
  <si>
    <t>vehicle_type</t>
  </si>
  <si>
    <t>volume</t>
  </si>
  <si>
    <t>delays</t>
  </si>
  <si>
    <t>avg_trip_distance</t>
  </si>
  <si>
    <t>bike</t>
  </si>
  <si>
    <t>ev bike</t>
  </si>
  <si>
    <t>ev van</t>
  </si>
  <si>
    <t>scooter</t>
  </si>
  <si>
    <t>van</t>
  </si>
  <si>
    <t>truck</t>
  </si>
  <si>
    <t>is_delayed</t>
  </si>
  <si>
    <t>shipment_count</t>
  </si>
  <si>
    <t>total_revenue_at_risk</t>
  </si>
  <si>
    <t>avg_shipment_value</t>
  </si>
  <si>
    <t>yes</t>
  </si>
  <si>
    <t>no</t>
  </si>
  <si>
    <t>Row Labels</t>
  </si>
  <si>
    <t>Grand Total</t>
  </si>
  <si>
    <t>Avg. Delay Rate</t>
  </si>
  <si>
    <t>Total Delay Exceptions</t>
  </si>
  <si>
    <t>Exception Count</t>
  </si>
  <si>
    <t>Volume of Delays</t>
  </si>
  <si>
    <t>Total Revenue at Risk</t>
  </si>
  <si>
    <t>TOC Linehaul Operations: Network Exception &amp;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</si>
</sst>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 x14ac:knownFonts="1">
    <font>
      <sz val="11"/>
      <color theme="1"/>
      <name val="Calibri"/>
      <family val="2"/>
      <scheme val="minor"/>
    </font>
    <font>
      <b/>
      <sz val="28"/>
      <color rgb="FF0070C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NumberFormat="1" applyAlignment="1">
      <alignment horizontal="center"/>
    </xf>
    <xf numFmtId="0" fontId="0" fillId="0" borderId="0" xfId="0" applyAlignment="1">
      <alignment horizontal="center"/>
    </xf>
    <xf numFmtId="0" fontId="0" fillId="0" borderId="0" xfId="0" pivotButton="1" applyAlignment="1">
      <alignment horizontal="center"/>
    </xf>
    <xf numFmtId="164" fontId="0" fillId="0" borderId="0" xfId="0" applyNumberFormat="1" applyAlignment="1">
      <alignment horizontal="center"/>
    </xf>
    <xf numFmtId="0" fontId="1" fillId="0" borderId="0" xfId="0" applyFont="1" applyAlignment="1">
      <alignment horizontal="center"/>
    </xf>
  </cellXfs>
  <cellStyles count="1">
    <cellStyle name="Normal" xfId="0" builtinId="0"/>
  </cellStyles>
  <dxfs count="89">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[Management Report.xlsx]DASHBOARD!PivotTable1</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Carrier</a:t>
            </a:r>
            <a:r>
              <a:rPr lang="en-US" baseline="0"/>
              <a:t> performance kpi</a:t>
            </a:r>
            <a:endParaRPr lang="en-US"/>
          </a:p>
        </c:rich>
      </c:tx>
      <c:layout>
        <c:manualLayout>
          <c:xMode val="edge"/>
          <c:yMode val="edge"/>
          <c:x val="0.19095822397200352"/>
          <c:y val="8.6942257217847763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DASHBOARD!$B$1</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DASHBOARD!$A$2:$A$11</c:f>
              <c:strCache>
                <c:ptCount val="9"/>
                <c:pt idx="0">
                  <c:v>ecom express</c:v>
                </c:pt>
                <c:pt idx="1">
                  <c:v>amazon logistics</c:v>
                </c:pt>
                <c:pt idx="2">
                  <c:v>shadowfax</c:v>
                </c:pt>
                <c:pt idx="3">
                  <c:v>delhivery</c:v>
                </c:pt>
                <c:pt idx="4">
                  <c:v>blue dart</c:v>
                </c:pt>
                <c:pt idx="5">
                  <c:v>xpressbees</c:v>
                </c:pt>
                <c:pt idx="6">
                  <c:v>ekart</c:v>
                </c:pt>
                <c:pt idx="7">
                  <c:v>dhl</c:v>
                </c:pt>
                <c:pt idx="8">
                  <c:v>fedex</c:v>
                </c:pt>
              </c:strCache>
            </c:strRef>
          </c:cat>
          <c:val>
            <c:numRef>
              <c:f>DASHBOARD!$B$2:$B$11</c:f>
              <c:numCache>
                <c:formatCode>General</c:formatCode>
                <c:ptCount val="9"/>
                <c:pt idx="0">
                  <c:v>2043</c:v>
                </c:pt>
                <c:pt idx="1">
                  <c:v>2051</c:v>
                </c:pt>
                <c:pt idx="2">
                  <c:v>2084</c:v>
                </c:pt>
                <c:pt idx="3">
                  <c:v>2093</c:v>
                </c:pt>
                <c:pt idx="4">
                  <c:v>2102</c:v>
                </c:pt>
                <c:pt idx="5">
                  <c:v>2105</c:v>
                </c:pt>
                <c:pt idx="6">
                  <c:v>2119</c:v>
                </c:pt>
                <c:pt idx="7">
                  <c:v>2124</c:v>
                </c:pt>
                <c:pt idx="8">
                  <c:v>2145</c:v>
                </c:pt>
              </c:numCache>
            </c:numRef>
          </c:val>
          <c:extLst>
            <c:ext xmlns:c16="http://schemas.microsoft.com/office/drawing/2014/chart" uri="{C3380CC4-5D6E-409C-BE32-E72D297353CC}">
              <c16:uniqueId val="{00000002-0A35-4E0E-8913-2A0771CD8BAE}"/>
            </c:ext>
          </c:extLst>
        </c:ser>
        <c:dLbls>
          <c:dLblPos val="outEnd"/>
          <c:showLegendKey val="0"/>
          <c:showVal val="1"/>
          <c:showCatName val="0"/>
          <c:showSerName val="0"/>
          <c:showPercent val="0"/>
          <c:showBubbleSize val="0"/>
        </c:dLbls>
        <c:gapWidth val="444"/>
        <c:axId val="1227218943"/>
        <c:axId val="1227216543"/>
      </c:barChart>
      <c:catAx>
        <c:axId val="1227218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27216543"/>
        <c:crosses val="autoZero"/>
        <c:auto val="1"/>
        <c:lblAlgn val="ctr"/>
        <c:lblOffset val="100"/>
        <c:noMultiLvlLbl val="0"/>
      </c:catAx>
      <c:valAx>
        <c:axId val="1227216543"/>
        <c:scaling>
          <c:orientation val="minMax"/>
        </c:scaling>
        <c:delete val="1"/>
        <c:axPos val="b"/>
        <c:numFmt formatCode="General" sourceLinked="1"/>
        <c:majorTickMark val="none"/>
        <c:minorTickMark val="none"/>
        <c:tickLblPos val="nextTo"/>
        <c:crossAx val="122721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[Management Report.xlsx]DASHBOARD!PivotTable2</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Regional</a:t>
            </a:r>
            <a:r>
              <a:rPr lang="en-US" sz="1600" b="1" baseline="0"/>
              <a:t> Analysis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DASHBOARD!$B$20</c:f>
              <c:strCache>
                <c:ptCount val="1"/>
                <c:pt idx="0">
                  <c:v>Total</c:v>
                </c:pt>
              </c:strCache>
            </c:strRef>
          </c:tx>
          <c:spPr>
            <a:solidFill>
              <a:schemeClr val="accent1"/>
            </a:solidFill>
            <a:ln>
              <a:noFill/>
            </a:ln>
            <a:effectLst/>
          </c:spPr>
          <c:invertIfNegative val="0"/>
          <c:cat>
            <c:strRef>
              <c:f>DASHBOARD!$A$21:$A$26</c:f>
              <c:strCache>
                <c:ptCount val="5"/>
                <c:pt idx="0">
                  <c:v>central</c:v>
                </c:pt>
                <c:pt idx="1">
                  <c:v>east</c:v>
                </c:pt>
                <c:pt idx="2">
                  <c:v>north</c:v>
                </c:pt>
                <c:pt idx="3">
                  <c:v>south</c:v>
                </c:pt>
                <c:pt idx="4">
                  <c:v>west</c:v>
                </c:pt>
              </c:strCache>
            </c:strRef>
          </c:cat>
          <c:val>
            <c:numRef>
              <c:f>DASHBOARD!$B$21:$B$26</c:f>
              <c:numCache>
                <c:formatCode>General</c:formatCode>
                <c:ptCount val="5"/>
                <c:pt idx="0">
                  <c:v>3812</c:v>
                </c:pt>
                <c:pt idx="1">
                  <c:v>3682</c:v>
                </c:pt>
                <c:pt idx="2">
                  <c:v>3775</c:v>
                </c:pt>
                <c:pt idx="3">
                  <c:v>3740</c:v>
                </c:pt>
                <c:pt idx="4">
                  <c:v>3857</c:v>
                </c:pt>
              </c:numCache>
            </c:numRef>
          </c:val>
          <c:extLst>
            <c:ext xmlns:c16="http://schemas.microsoft.com/office/drawing/2014/chart" uri="{C3380CC4-5D6E-409C-BE32-E72D297353CC}">
              <c16:uniqueId val="{00000000-0E6A-4F7E-B4BD-694AC47C424A}"/>
            </c:ext>
          </c:extLst>
        </c:ser>
        <c:dLbls>
          <c:showLegendKey val="0"/>
          <c:showVal val="0"/>
          <c:showCatName val="0"/>
          <c:showSerName val="0"/>
          <c:showPercent val="0"/>
          <c:showBubbleSize val="0"/>
        </c:dLbls>
        <c:gapWidth val="219"/>
        <c:axId val="1308912735"/>
        <c:axId val="1308910815"/>
      </c:barChart>
      <c:catAx>
        <c:axId val="130891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910815"/>
        <c:crosses val="autoZero"/>
        <c:auto val="1"/>
        <c:lblAlgn val="ctr"/>
        <c:lblOffset val="100"/>
        <c:noMultiLvlLbl val="0"/>
      </c:catAx>
      <c:valAx>
        <c:axId val="1308910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91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[Management Report.xlsx]DASHBOARD!PivotTable3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Weather</a:t>
            </a:r>
            <a:r>
              <a:rPr lang="en-US" sz="1600" b="1" baseline="0"/>
              <a:t> Impact</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DASHBOARD!$AJ$20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DASHBOARD!$AI$21:$AI$27</c:f>
              <c:strCache>
                <c:ptCount val="6"/>
                <c:pt idx="0">
                  <c:v>clear</c:v>
                </c:pt>
                <c:pt idx="1">
                  <c:v>cold</c:v>
                </c:pt>
                <c:pt idx="2">
                  <c:v>foggy</c:v>
                </c:pt>
                <c:pt idx="3">
                  <c:v>hot</c:v>
                </c:pt>
                <c:pt idx="4">
                  <c:v>rainy</c:v>
                </c:pt>
                <c:pt idx="5">
                  <c:v>stormy</c:v>
                </c:pt>
              </c:strCache>
            </c:strRef>
          </c:cat>
          <c:val>
            <c:numRef>
              <c:f>DASHBOARD!$AJ$21:$AJ$27</c:f>
              <c:numCache>
                <c:formatCode>General</c:formatCode>
                <c:ptCount val="6"/>
                <c:pt idx="0">
                  <c:v>3093</c:v>
                </c:pt>
                <c:pt idx="1">
                  <c:v>3180</c:v>
                </c:pt>
                <c:pt idx="2">
                  <c:v>3198</c:v>
                </c:pt>
                <c:pt idx="3">
                  <c:v>3103</c:v>
                </c:pt>
                <c:pt idx="4">
                  <c:v>3113</c:v>
                </c:pt>
                <c:pt idx="5">
                  <c:v>3179</c:v>
                </c:pt>
              </c:numCache>
            </c:numRef>
          </c:val>
          <c:extLst>
            <c:ext xmlns:c16="http://schemas.microsoft.com/office/drawing/2014/chart" uri="{C3380CC4-5D6E-409C-BE32-E72D297353CC}">
              <c16:uniqueId val="{00000000-C5CF-4655-9FB1-048B16E9F429}"/>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[Management Report.xlsx]DASHBOARD!PivotTable4</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Vehicle</a:t>
            </a:r>
            <a:r>
              <a:rPr lang="en-US" sz="1600" b="1" baseline="0"/>
              <a:t> Trends</a:t>
            </a:r>
            <a:endParaRPr lang="en-US" sz="1600" b="1"/>
          </a:p>
        </c:rich>
      </c:tx>
      <c:layout>
        <c:manualLayout>
          <c:xMode val="edge"/>
          <c:yMode val="edge"/>
          <c:x val="0.36052460358038102"/>
          <c:y val="0.12312962848566263"/>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DASHBOARD!$B$40</c:f>
              <c:strCache>
                <c:ptCount val="1"/>
                <c:pt idx="0">
                  <c:v>Total</c:v>
                </c:pt>
              </c:strCache>
            </c:strRef>
          </c:tx>
          <c:spPr>
            <a:solidFill>
              <a:schemeClr val="accent1"/>
            </a:solidFill>
            <a:ln>
              <a:noFill/>
            </a:ln>
            <a:effectLst/>
          </c:spPr>
          <c:invertIfNegative val="0"/>
          <c:cat>
            <c:strRef>
              <c:f>DASHBOARD!$A$41:$A$47</c:f>
              <c:strCache>
                <c:ptCount val="6"/>
                <c:pt idx="0">
                  <c:v>bike</c:v>
                </c:pt>
                <c:pt idx="1">
                  <c:v>ev bike</c:v>
                </c:pt>
                <c:pt idx="2">
                  <c:v>ev van</c:v>
                </c:pt>
                <c:pt idx="3">
                  <c:v>scooter</c:v>
                </c:pt>
                <c:pt idx="4">
                  <c:v>truck</c:v>
                </c:pt>
                <c:pt idx="5">
                  <c:v>van</c:v>
                </c:pt>
              </c:strCache>
            </c:strRef>
          </c:cat>
          <c:val>
            <c:numRef>
              <c:f>DASHBOARD!$B$41:$B$47</c:f>
              <c:numCache>
                <c:formatCode>General</c:formatCode>
                <c:ptCount val="6"/>
                <c:pt idx="0">
                  <c:v>3178</c:v>
                </c:pt>
                <c:pt idx="1">
                  <c:v>3174</c:v>
                </c:pt>
                <c:pt idx="2">
                  <c:v>3140</c:v>
                </c:pt>
                <c:pt idx="3">
                  <c:v>3127</c:v>
                </c:pt>
                <c:pt idx="4">
                  <c:v>3121</c:v>
                </c:pt>
                <c:pt idx="5">
                  <c:v>3126</c:v>
                </c:pt>
              </c:numCache>
            </c:numRef>
          </c:val>
          <c:extLst>
            <c:ext xmlns:c16="http://schemas.microsoft.com/office/drawing/2014/chart" uri="{C3380CC4-5D6E-409C-BE32-E72D297353CC}">
              <c16:uniqueId val="{00000000-0036-4E2D-BCB1-9FFB88090A5D}"/>
            </c:ext>
          </c:extLst>
        </c:ser>
        <c:dLbls>
          <c:showLegendKey val="0"/>
          <c:showVal val="0"/>
          <c:showCatName val="0"/>
          <c:showSerName val="0"/>
          <c:showPercent val="0"/>
          <c:showBubbleSize val="0"/>
        </c:dLbls>
        <c:gapWidth val="219"/>
        <c:overlap val="100"/>
        <c:axId val="1311000447"/>
        <c:axId val="1311002367"/>
      </c:barChart>
      <c:catAx>
        <c:axId val="1311000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002367"/>
        <c:crosses val="autoZero"/>
        <c:auto val="1"/>
        <c:lblAlgn val="ctr"/>
        <c:lblOffset val="100"/>
        <c:noMultiLvlLbl val="0"/>
      </c:catAx>
      <c:valAx>
        <c:axId val="1311002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00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[Management Report.xlsx]DASHBOARD!PivotTable5</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Financial</a:t>
            </a:r>
            <a:r>
              <a:rPr lang="en-US" sz="1600" b="1" baseline="0"/>
              <a:t> Impact</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DASHBOARD!$AJ$1</c:f>
              <c:strCache>
                <c:ptCount val="1"/>
                <c:pt idx="0">
                  <c:v>Total</c:v>
                </c:pt>
              </c:strCache>
            </c:strRef>
          </c:tx>
          <c:spPr>
            <a:solidFill>
              <a:schemeClr val="accent1"/>
            </a:solidFill>
            <a:ln>
              <a:noFill/>
            </a:ln>
            <a:effectLst/>
          </c:spPr>
          <c:invertIfNegative val="0"/>
          <c:cat>
            <c:strRef>
              <c:f>DASHBOARD!$AI$2:$AI$4</c:f>
              <c:strCache>
                <c:ptCount val="2"/>
                <c:pt idx="0">
                  <c:v>no</c:v>
                </c:pt>
                <c:pt idx="1">
                  <c:v>yes</c:v>
                </c:pt>
              </c:strCache>
            </c:strRef>
          </c:cat>
          <c:val>
            <c:numRef>
              <c:f>DASHBOARD!$AJ$2:$AJ$4</c:f>
              <c:numCache>
                <c:formatCode>"₹"\ #,##0.00</c:formatCode>
                <c:ptCount val="2"/>
                <c:pt idx="0">
                  <c:v>5276526.7583999997</c:v>
                </c:pt>
                <c:pt idx="1">
                  <c:v>16347087.711600101</c:v>
                </c:pt>
              </c:numCache>
            </c:numRef>
          </c:val>
          <c:extLst>
            <c:ext xmlns:c16="http://schemas.microsoft.com/office/drawing/2014/chart" uri="{C3380CC4-5D6E-409C-BE32-E72D297353CC}">
              <c16:uniqueId val="{00000000-19D7-4CF3-A005-C185CE2FFC9E}"/>
            </c:ext>
          </c:extLst>
        </c:ser>
        <c:dLbls>
          <c:showLegendKey val="0"/>
          <c:showVal val="0"/>
          <c:showCatName val="0"/>
          <c:showSerName val="0"/>
          <c:showPercent val="0"/>
          <c:showBubbleSize val="0"/>
        </c:dLbls>
        <c:gapWidth val="219"/>
        <c:axId val="1438712959"/>
        <c:axId val="1438710559"/>
      </c:barChart>
      <c:catAx>
        <c:axId val="143871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710559"/>
        <c:crosses val="autoZero"/>
        <c:auto val="1"/>
        <c:lblAlgn val="ctr"/>
        <c:lblOffset val="100"/>
        <c:noMultiLvlLbl val="0"/>
      </c:catAx>
      <c:valAx>
        <c:axId val="14387105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71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502496</xdr:colOff>
      <xdr:row>1</xdr:row>
      <xdr:rowOff>50212</xdr:rowOff>
    </xdr:from>
    <xdr:to>
      <xdr:col>13</xdr:col>
      <xdr:colOff>193463</xdr:colOff>
      <xdr:row>16</xdr:row>
      <xdr:rowOff>50212</xdr:rowOff>
    </xdr:to>
    <xdr:graphicFrame macro="">
      <xdr:nvGraphicFramePr>
        <xdr:cNvPr id="2" name="Chart 1">
          <a:extLst>
            <a:ext uri="{FF2B5EF4-FFF2-40B4-BE49-F238E27FC236}">
              <a16:creationId xmlns:a16="http://schemas.microsoft.com/office/drawing/2014/main" id="{5E64BA8E-CD0C-2E7F-C287-B804E2F13F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137160</xdr:colOff>
      <xdr:row>1</xdr:row>
      <xdr:rowOff>0</xdr:rowOff>
    </xdr:from>
    <xdr:to>
      <xdr:col>5</xdr:col>
      <xdr:colOff>137160</xdr:colOff>
      <xdr:row>14</xdr:row>
      <xdr:rowOff>89535</xdr:rowOff>
    </xdr:to>
    <mc:AlternateContent xmlns:mc="http://schemas.openxmlformats.org/markup-compatibility/2006">
      <mc:Choice xmlns:a14="http://schemas.microsoft.com/office/drawing/2010/main" Requires="a14">
        <xdr:graphicFrame macro="">
          <xdr:nvGraphicFramePr>
            <xdr:cNvPr id="3" name="delivery_partner">
              <a:extLst>
                <a:ext uri="{FF2B5EF4-FFF2-40B4-BE49-F238E27FC236}">
                  <a16:creationId xmlns:a16="http://schemas.microsoft.com/office/drawing/2014/main" id="{9A855C12-2DBA-FF24-D6DA-282CB7D1AC1C}"/>
                </a:ext>
              </a:extLst>
            </xdr:cNvPr>
            <xdr:cNvGraphicFramePr/>
          </xdr:nvGraphicFramePr>
          <xdr:xfrm>
            <a:off x="0" y="0"/>
            <a:ext cx="0" cy="0"/>
          </xdr:xfrm>
          <a:graphic>
            <a:graphicData uri="http://schemas.microsoft.com/office/drawing/2010/slicer">
              <sle:slicer xmlns:sle="http://schemas.microsoft.com/office/drawing/2010/slicer" name="delivery_partner"/>
            </a:graphicData>
          </a:graphic>
        </xdr:graphicFrame>
      </mc:Choice>
      <mc:Fallback>
        <xdr:sp macro="" textlink="">
          <xdr:nvSpPr>
            <xdr:cNvPr id="0" name=""/>
            <xdr:cNvSpPr>
              <a:spLocks noTextEdit="1"/>
            </xdr:cNvSpPr>
          </xdr:nvSpPr>
          <xdr:spPr>
            <a:xfrm>
              <a:off x="137160" y="463485"/>
              <a:ext cx="1838227" cy="2438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499994</xdr:colOff>
      <xdr:row>17</xdr:row>
      <xdr:rowOff>65570</xdr:rowOff>
    </xdr:from>
    <xdr:to>
      <xdr:col>13</xdr:col>
      <xdr:colOff>174246</xdr:colOff>
      <xdr:row>32</xdr:row>
      <xdr:rowOff>65570</xdr:rowOff>
    </xdr:to>
    <xdr:graphicFrame macro="">
      <xdr:nvGraphicFramePr>
        <xdr:cNvPr id="4" name="Chart 3">
          <a:extLst>
            <a:ext uri="{FF2B5EF4-FFF2-40B4-BE49-F238E27FC236}">
              <a16:creationId xmlns:a16="http://schemas.microsoft.com/office/drawing/2014/main" id="{81444906-24E5-063F-A8C8-273D045818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416915</xdr:colOff>
      <xdr:row>17</xdr:row>
      <xdr:rowOff>79985</xdr:rowOff>
    </xdr:from>
    <xdr:to>
      <xdr:col>23</xdr:col>
      <xdr:colOff>83024</xdr:colOff>
      <xdr:row>32</xdr:row>
      <xdr:rowOff>52277</xdr:rowOff>
    </xdr:to>
    <xdr:graphicFrame macro="">
      <xdr:nvGraphicFramePr>
        <xdr:cNvPr id="5" name="Chart 4">
          <a:extLst>
            <a:ext uri="{FF2B5EF4-FFF2-40B4-BE49-F238E27FC236}">
              <a16:creationId xmlns:a16="http://schemas.microsoft.com/office/drawing/2014/main" id="{D491E74C-0C8E-B535-C575-2D5751DFED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461672</xdr:colOff>
      <xdr:row>33</xdr:row>
      <xdr:rowOff>12638</xdr:rowOff>
    </xdr:from>
    <xdr:to>
      <xdr:col>13</xdr:col>
      <xdr:colOff>130774</xdr:colOff>
      <xdr:row>48</xdr:row>
      <xdr:rowOff>72440</xdr:rowOff>
    </xdr:to>
    <xdr:graphicFrame macro="">
      <xdr:nvGraphicFramePr>
        <xdr:cNvPr id="6" name="Chart 5">
          <a:extLst>
            <a:ext uri="{FF2B5EF4-FFF2-40B4-BE49-F238E27FC236}">
              <a16:creationId xmlns:a16="http://schemas.microsoft.com/office/drawing/2014/main" id="{4A08EB79-79A6-289A-1A34-F20C08AF46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418887</xdr:colOff>
      <xdr:row>1</xdr:row>
      <xdr:rowOff>63413</xdr:rowOff>
    </xdr:from>
    <xdr:to>
      <xdr:col>23</xdr:col>
      <xdr:colOff>94800</xdr:colOff>
      <xdr:row>16</xdr:row>
      <xdr:rowOff>120933</xdr:rowOff>
    </xdr:to>
    <xdr:graphicFrame macro="">
      <xdr:nvGraphicFramePr>
        <xdr:cNvPr id="7" name="Chart 6">
          <a:extLst>
            <a:ext uri="{FF2B5EF4-FFF2-40B4-BE49-F238E27FC236}">
              <a16:creationId xmlns:a16="http://schemas.microsoft.com/office/drawing/2014/main" id="{69072620-30E9-AA86-7C22-C9F50D6464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wanath" refreshedDate="46034.887620949077" createdVersion="8" refreshedVersion="8" minRefreshableVersion="3" recordCount="9" xr:uid="{BCF73527-46D5-48A0-8E72-3979112F818E}">
  <cacheSource type="worksheet">
    <worksheetSource ref="A1:D10" sheet="Carrier_KPI"/>
  </cacheSource>
  <cacheFields count="4">
    <cacheField name="delivery_partner" numFmtId="0">
      <sharedItems count="9">
        <s v="shadowfax"/>
        <s v="fedex"/>
        <s v="dhl"/>
        <s v="amazon logistics"/>
        <s v="ekart"/>
        <s v="delhivery"/>
        <s v="blue dart"/>
        <s v="ecom express"/>
        <s v="xpressbees"/>
      </sharedItems>
    </cacheField>
    <cacheField name="total_shipments" numFmtId="0">
      <sharedItems containsSemiMixedTypes="0" containsString="0" containsNumber="1" containsInteger="1" minValue="2711" maxValue="2826"/>
    </cacheField>
    <cacheField name="late_deliveries" numFmtId="0">
      <sharedItems containsSemiMixedTypes="0" containsString="0" containsNumber="1" containsInteger="1" minValue="2043" maxValue="2145"/>
    </cacheField>
    <cacheField name="delay_percentage" numFmtId="0">
      <sharedItems containsSemiMixedTypes="0" containsString="0" containsNumber="1" minValue="74.489999999999995" maxValue="76.17"/>
    </cacheField>
  </cacheFields>
  <extLst>
    <ext xmlns:x14="http://schemas.microsoft.com/office/spreadsheetml/2009/9/main" uri="{725AE2AE-9491-48be-B2B4-4EB974FC3084}">
      <x14:pivotCacheDefinition pivotCacheId="9882327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wanath" refreshedDate="46034.921246296297" createdVersion="8" refreshedVersion="8" minRefreshableVersion="3" recordCount="5" xr:uid="{3606BE4C-F8DE-48D5-AD04-989EC0927F5F}">
  <cacheSource type="worksheet">
    <worksheetSource ref="A1:C6" sheet="Regional_Analysis"/>
  </cacheSource>
  <cacheFields count="3">
    <cacheField name="region" numFmtId="0">
      <sharedItems count="5">
        <s v="west"/>
        <s v="central"/>
        <s v="north"/>
        <s v="south"/>
        <s v="east"/>
      </sharedItems>
    </cacheField>
    <cacheField name="total_volumne" numFmtId="0">
      <sharedItems containsSemiMixedTypes="0" containsString="0" containsNumber="1" containsInteger="1" minValue="4919" maxValue="5095"/>
    </cacheField>
    <cacheField name="late_count" numFmtId="0">
      <sharedItems containsSemiMixedTypes="0" containsString="0" containsNumber="1" containsInteger="1" minValue="3682" maxValue="385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wanath" refreshedDate="46034.928703356483" createdVersion="8" refreshedVersion="8" minRefreshableVersion="3" recordCount="6" xr:uid="{D7E4732A-FBA0-4ED6-87AE-A8BF143BA648}">
  <cacheSource type="worksheet">
    <worksheetSource ref="A1:D7" sheet="Weather_Impact"/>
  </cacheSource>
  <cacheFields count="4">
    <cacheField name="weather_condition" numFmtId="0">
      <sharedItems count="6">
        <s v="foggy"/>
        <s v="cold"/>
        <s v="stormy"/>
        <s v="rainy"/>
        <s v="hot"/>
        <s v="clear"/>
      </sharedItems>
    </cacheField>
    <cacheField name="total_shipments" numFmtId="0">
      <sharedItems containsSemiMixedTypes="0" containsString="0" containsNumber="1" containsInteger="1" minValue="4124" maxValue="4219"/>
    </cacheField>
    <cacheField name="exceptions" numFmtId="0">
      <sharedItems containsSemiMixedTypes="0" containsString="0" containsNumber="1" containsInteger="1" minValue="3093" maxValue="3198"/>
    </cacheField>
    <cacheField name="avg_cost" numFmtId="0">
      <sharedItems containsSemiMixedTypes="0" containsString="0" containsNumber="1" minValue="859.25" maxValue="868.23"/>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wanath" refreshedDate="46034.932380787039" createdVersion="8" refreshedVersion="8" minRefreshableVersion="3" recordCount="6" xr:uid="{DF636710-4A75-4D25-A998-2926D660B1B8}">
  <cacheSource type="worksheet">
    <worksheetSource ref="A1:D7" sheet="Vehicle_Trends"/>
  </cacheSource>
  <cacheFields count="4">
    <cacheField name="vehicle_type" numFmtId="0">
      <sharedItems count="6">
        <s v="bike"/>
        <s v="ev bike"/>
        <s v="ev van"/>
        <s v="scooter"/>
        <s v="van"/>
        <s v="truck"/>
      </sharedItems>
    </cacheField>
    <cacheField name="volume" numFmtId="0">
      <sharedItems containsSemiMixedTypes="0" containsString="0" containsNumber="1" containsInteger="1" minValue="4116" maxValue="4218"/>
    </cacheField>
    <cacheField name="delays" numFmtId="0">
      <sharedItems containsSemiMixedTypes="0" containsString="0" containsNumber="1" containsInteger="1" minValue="3121" maxValue="3178"/>
    </cacheField>
    <cacheField name="avg_trip_distance" numFmtId="0">
      <sharedItems containsSemiMixedTypes="0" containsString="0" containsNumber="1" minValue="148.77000000000001" maxValue="151.41999999999999"/>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wanath" refreshedDate="46034.935415856482" createdVersion="8" refreshedVersion="8" minRefreshableVersion="3" recordCount="2" xr:uid="{D77B1856-A618-4D45-8755-D70C96125EE5}">
  <cacheSource type="worksheet">
    <worksheetSource ref="A1:D3" sheet="Financial_Impact"/>
  </cacheSource>
  <cacheFields count="4">
    <cacheField name="is_delayed" numFmtId="0">
      <sharedItems count="2">
        <s v="yes"/>
        <s v="no"/>
      </sharedItems>
    </cacheField>
    <cacheField name="shipment_count" numFmtId="0">
      <sharedItems containsSemiMixedTypes="0" containsString="0" containsNumber="1" containsInteger="1" minValue="6134" maxValue="18866"/>
    </cacheField>
    <cacheField name="total_revenue_at_risk" numFmtId="0">
      <sharedItems containsSemiMixedTypes="0" containsString="0" containsNumber="1" minValue="5276526.7583999997" maxValue="16347087.711600101"/>
    </cacheField>
    <cacheField name="avg_shipment_value" numFmtId="0">
      <sharedItems containsSemiMixedTypes="0" containsString="0" containsNumber="1" minValue="860.21" maxValue="866.4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n v="2736"/>
    <n v="2084"/>
    <n v="76.17"/>
  </r>
  <r>
    <x v="1"/>
    <n v="2818"/>
    <n v="2145"/>
    <n v="76.12"/>
  </r>
  <r>
    <x v="2"/>
    <n v="2802"/>
    <n v="2124"/>
    <n v="75.8"/>
  </r>
  <r>
    <x v="3"/>
    <n v="2711"/>
    <n v="2051"/>
    <n v="75.650000000000006"/>
  </r>
  <r>
    <x v="4"/>
    <n v="2801"/>
    <n v="2119"/>
    <n v="75.650000000000006"/>
  </r>
  <r>
    <x v="5"/>
    <n v="2786"/>
    <n v="2093"/>
    <n v="75.13"/>
  </r>
  <r>
    <x v="6"/>
    <n v="2798"/>
    <n v="2102"/>
    <n v="75.13"/>
  </r>
  <r>
    <x v="7"/>
    <n v="2722"/>
    <n v="2043"/>
    <n v="75.06"/>
  </r>
  <r>
    <x v="8"/>
    <n v="2826"/>
    <n v="2105"/>
    <n v="74.48999999999999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5095"/>
    <n v="3857"/>
  </r>
  <r>
    <x v="1"/>
    <n v="5060"/>
    <n v="3812"/>
  </r>
  <r>
    <x v="2"/>
    <n v="4949"/>
    <n v="3775"/>
  </r>
  <r>
    <x v="3"/>
    <n v="4977"/>
    <n v="3740"/>
  </r>
  <r>
    <x v="4"/>
    <n v="4919"/>
    <n v="368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4219"/>
    <n v="3198"/>
    <n v="862.68"/>
  </r>
  <r>
    <x v="1"/>
    <n v="4158"/>
    <n v="3180"/>
    <n v="866.78"/>
  </r>
  <r>
    <x v="2"/>
    <n v="4198"/>
    <n v="3179"/>
    <n v="859.25"/>
  </r>
  <r>
    <x v="3"/>
    <n v="4171"/>
    <n v="3113"/>
    <n v="867.47"/>
  </r>
  <r>
    <x v="4"/>
    <n v="4130"/>
    <n v="3103"/>
    <n v="868.23"/>
  </r>
  <r>
    <x v="5"/>
    <n v="4124"/>
    <n v="3093"/>
    <n v="865.3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4160"/>
    <n v="3178"/>
    <n v="151.41999999999999"/>
  </r>
  <r>
    <x v="1"/>
    <n v="4218"/>
    <n v="3174"/>
    <n v="151.04"/>
  </r>
  <r>
    <x v="2"/>
    <n v="4116"/>
    <n v="3140"/>
    <n v="150.68"/>
  </r>
  <r>
    <x v="3"/>
    <n v="4174"/>
    <n v="3127"/>
    <n v="150.16"/>
  </r>
  <r>
    <x v="4"/>
    <n v="4187"/>
    <n v="3126"/>
    <n v="148.77000000000001"/>
  </r>
  <r>
    <x v="5"/>
    <n v="4145"/>
    <n v="3121"/>
    <n v="150.2700000000000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18866"/>
    <n v="16347087.711600101"/>
    <n v="866.48"/>
  </r>
  <r>
    <x v="1"/>
    <n v="6134"/>
    <n v="5276526.7583999997"/>
    <n v="860.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364B3E-1B70-411F-BB0D-0543678A069A}"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I1:AJ4" firstHeaderRow="1" firstDataRow="1" firstDataCol="1"/>
  <pivotFields count="4">
    <pivotField name="Shipment Status" axis="axisRow" showAll="0">
      <items count="3">
        <item x="1"/>
        <item x="0"/>
        <item t="default"/>
      </items>
    </pivotField>
    <pivotField showAll="0"/>
    <pivotField dataField="1" showAll="0"/>
    <pivotField showAll="0"/>
  </pivotFields>
  <rowFields count="1">
    <field x="0"/>
  </rowFields>
  <rowItems count="3">
    <i>
      <x/>
    </i>
    <i>
      <x v="1"/>
    </i>
    <i t="grand">
      <x/>
    </i>
  </rowItems>
  <colItems count="1">
    <i/>
  </colItems>
  <dataFields count="1">
    <dataField name="Total Revenue at Risk" fld="2" baseField="0" baseItem="0" numFmtId="164"/>
  </dataFields>
  <formats count="6">
    <format dxfId="76">
      <pivotArea type="all" dataOnly="0" outline="0" fieldPosition="0"/>
    </format>
    <format dxfId="75">
      <pivotArea outline="0" collapsedLevelsAreSubtotals="1" fieldPosition="0"/>
    </format>
    <format dxfId="74">
      <pivotArea field="0" type="button" dataOnly="0" labelOnly="1" outline="0" axis="axisRow" fieldPosition="0"/>
    </format>
    <format dxfId="73">
      <pivotArea dataOnly="0" labelOnly="1" fieldPosition="0">
        <references count="1">
          <reference field="0" count="0"/>
        </references>
      </pivotArea>
    </format>
    <format dxfId="72">
      <pivotArea dataOnly="0" labelOnly="1" grandRow="1" outline="0" fieldPosition="0"/>
    </format>
    <format dxfId="71">
      <pivotArea dataOnly="0" labelOnly="1" outline="0" axis="axisValues" fieldPosition="0"/>
    </format>
  </format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DD6CA4-CCD5-45DB-B09E-A13B8E60B6FE}"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0:B47" firstHeaderRow="1" firstDataRow="1" firstDataCol="1"/>
  <pivotFields count="4">
    <pivotField name="Fleet vehicle Type" axis="axisRow" showAll="0">
      <items count="7">
        <item x="0"/>
        <item x="1"/>
        <item x="2"/>
        <item x="3"/>
        <item x="5"/>
        <item x="4"/>
        <item t="default"/>
      </items>
    </pivotField>
    <pivotField showAll="0"/>
    <pivotField dataField="1" showAll="0"/>
    <pivotField showAll="0"/>
  </pivotFields>
  <rowFields count="1">
    <field x="0"/>
  </rowFields>
  <rowItems count="7">
    <i>
      <x/>
    </i>
    <i>
      <x v="1"/>
    </i>
    <i>
      <x v="2"/>
    </i>
    <i>
      <x v="3"/>
    </i>
    <i>
      <x v="4"/>
    </i>
    <i>
      <x v="5"/>
    </i>
    <i t="grand">
      <x/>
    </i>
  </rowItems>
  <colItems count="1">
    <i/>
  </colItems>
  <dataFields count="1">
    <dataField name="Volume of Delays" fld="2" baseField="0" baseItem="0"/>
  </dataFields>
  <formats count="1">
    <format dxfId="86">
      <pivotArea field="0" dataOnly="0" grandRow="1" axis="axisRow" fieldPosition="0">
        <references count="1">
          <reference field="0"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2DFC7F-78AC-47EE-A18A-0F0D05731357}"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I20:AJ27" firstHeaderRow="1" firstDataRow="1" firstDataCol="1"/>
  <pivotFields count="4">
    <pivotField name="Envirnomental Condition" axis="axisRow" showAll="0">
      <items count="7">
        <item x="5"/>
        <item x="1"/>
        <item x="0"/>
        <item x="4"/>
        <item x="3"/>
        <item x="2"/>
        <item t="default"/>
      </items>
    </pivotField>
    <pivotField showAll="0"/>
    <pivotField dataField="1" showAll="0"/>
    <pivotField showAll="0"/>
  </pivotFields>
  <rowFields count="1">
    <field x="0"/>
  </rowFields>
  <rowItems count="7">
    <i>
      <x/>
    </i>
    <i>
      <x v="1"/>
    </i>
    <i>
      <x v="2"/>
    </i>
    <i>
      <x v="3"/>
    </i>
    <i>
      <x v="4"/>
    </i>
    <i>
      <x v="5"/>
    </i>
    <i t="grand">
      <x/>
    </i>
  </rowItems>
  <colItems count="1">
    <i/>
  </colItems>
  <dataFields count="1">
    <dataField name="Exception Count" fld="2" baseField="0" baseItem="0"/>
  </dataFields>
  <formats count="6">
    <format dxfId="69">
      <pivotArea type="all" dataOnly="0" outline="0" fieldPosition="0"/>
    </format>
    <format dxfId="67">
      <pivotArea outline="0" collapsedLevelsAreSubtotals="1" fieldPosition="0"/>
    </format>
    <format dxfId="66">
      <pivotArea field="0" type="button" dataOnly="0" labelOnly="1" outline="0" axis="axisRow" fieldPosition="0"/>
    </format>
    <format dxfId="65">
      <pivotArea dataOnly="0" labelOnly="1" fieldPosition="0">
        <references count="1">
          <reference field="0" count="0"/>
        </references>
      </pivotArea>
    </format>
    <format dxfId="64">
      <pivotArea dataOnly="0" labelOnly="1" grandRow="1" outline="0" fieldPosition="0"/>
    </format>
    <format dxfId="63">
      <pivotArea dataOnly="0" labelOnly="1" outline="0" axis="axisValues" fieldPosition="0"/>
    </format>
  </format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A2C28C-923D-4C0E-AF24-817E2357E35D}"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B26" firstHeaderRow="1" firstDataRow="1" firstDataCol="1"/>
  <pivotFields count="3">
    <pivotField name="Netwok Region" axis="axisRow" showAll="0">
      <items count="6">
        <item x="1"/>
        <item x="4"/>
        <item x="2"/>
        <item x="3"/>
        <item x="0"/>
        <item t="default"/>
      </items>
    </pivotField>
    <pivotField showAll="0"/>
    <pivotField dataField="1" showAll="0"/>
  </pivotFields>
  <rowFields count="1">
    <field x="0"/>
  </rowFields>
  <rowItems count="6">
    <i>
      <x/>
    </i>
    <i>
      <x v="1"/>
    </i>
    <i>
      <x v="2"/>
    </i>
    <i>
      <x v="3"/>
    </i>
    <i>
      <x v="4"/>
    </i>
    <i t="grand">
      <x/>
    </i>
  </rowItems>
  <colItems count="1">
    <i/>
  </colItems>
  <dataFields count="1">
    <dataField name="Total Delay Exceptions" fld="2" baseField="0" baseItem="0"/>
  </dataFields>
  <formats count="3">
    <format dxfId="88">
      <pivotArea outline="0" collapsedLevelsAreSubtotals="1" fieldPosition="0"/>
    </format>
    <format dxfId="87">
      <pivotArea dataOnly="0" fieldPosition="0">
        <references count="1">
          <reference field="0" count="0"/>
        </references>
      </pivotArea>
    </format>
    <format dxfId="85">
      <pivotArea dataOnly="0" grandRow="1" fieldPosition="0"/>
    </format>
  </format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2AC6AE-B8A4-49C3-BFD5-D543F79D8340}"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11" firstHeaderRow="1" firstDataRow="1" firstDataCol="1"/>
  <pivotFields count="4">
    <pivotField axis="axisRow" showAll="0" sortType="ascending">
      <items count="10">
        <item x="3"/>
        <item x="6"/>
        <item x="5"/>
        <item x="2"/>
        <item x="7"/>
        <item x="4"/>
        <item x="1"/>
        <item x="0"/>
        <item x="8"/>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s>
  <rowFields count="1">
    <field x="0"/>
  </rowFields>
  <rowItems count="10">
    <i>
      <x v="4"/>
    </i>
    <i>
      <x/>
    </i>
    <i>
      <x v="7"/>
    </i>
    <i>
      <x v="2"/>
    </i>
    <i>
      <x v="1"/>
    </i>
    <i>
      <x v="8"/>
    </i>
    <i>
      <x v="5"/>
    </i>
    <i>
      <x v="3"/>
    </i>
    <i>
      <x v="6"/>
    </i>
    <i t="grand">
      <x/>
    </i>
  </rowItems>
  <colItems count="1">
    <i/>
  </colItems>
  <dataFields count="1">
    <dataField name="Avg. Delay Rate" fld="2" baseField="0" baseItem="4"/>
  </dataFields>
  <formats count="6">
    <format dxfId="84">
      <pivotArea type="all" dataOnly="0" outline="0" fieldPosition="0"/>
    </format>
    <format dxfId="82">
      <pivotArea outline="0" collapsedLevelsAreSubtotals="1" fieldPosition="0"/>
    </format>
    <format dxfId="81">
      <pivotArea field="0" type="button" dataOnly="0" labelOnly="1" outline="0" axis="axisRow" fieldPosition="0"/>
    </format>
    <format dxfId="80">
      <pivotArea dataOnly="0" labelOnly="1" fieldPosition="0">
        <references count="1">
          <reference field="0" count="0"/>
        </references>
      </pivotArea>
    </format>
    <format dxfId="79">
      <pivotArea dataOnly="0" labelOnly="1" grandRow="1" outline="0" fieldPosition="0"/>
    </format>
    <format dxfId="78">
      <pivotArea dataOnly="0" labelOnly="1" outline="0" axis="axisValues" fieldPosition="0"/>
    </format>
  </format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partner" xr10:uid="{CA22B848-02DF-4CD1-8B1F-68BD57DE0268}" sourceName="delivery_partner">
  <pivotTables>
    <pivotTable tabId="6" name="PivotTable1"/>
  </pivotTables>
  <data>
    <tabular pivotCacheId="988232778">
      <items count="9">
        <i x="3" s="1"/>
        <i x="6" s="1"/>
        <i x="5" s="1"/>
        <i x="2" s="1"/>
        <i x="7" s="1"/>
        <i x="4" s="1"/>
        <i x="1" s="1"/>
        <i x="0"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_partner" xr10:uid="{F401C0EE-442C-497F-8FF4-86C79FE30B89}" cache="Slicer_delivery_partner" caption="delivery_partn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87553-3881-4F8E-A2C7-550DA14A791D}">
  <dimension ref="A1:AK47"/>
  <sheetViews>
    <sheetView showGridLines="0" tabSelected="1" topLeftCell="C1" zoomScale="97" zoomScaleNormal="100" workbookViewId="0">
      <selection activeCell="S40" sqref="S40"/>
    </sheetView>
  </sheetViews>
  <sheetFormatPr defaultRowHeight="14.4" x14ac:dyDescent="0.3"/>
  <cols>
    <col min="1" max="1" width="17.33203125" hidden="1" customWidth="1"/>
    <col min="2" max="2" width="8.33203125" hidden="1" customWidth="1"/>
    <col min="35" max="35" width="12.6640625" hidden="1" customWidth="1"/>
    <col min="36" max="36" width="14.77734375" hidden="1" customWidth="1"/>
    <col min="37" max="37" width="35.21875" bestFit="1" customWidth="1"/>
  </cols>
  <sheetData>
    <row r="1" spans="1:36" ht="36.6" x14ac:dyDescent="0.7">
      <c r="A1" s="6" t="s">
        <v>46</v>
      </c>
      <c r="B1" s="5" t="s">
        <v>48</v>
      </c>
      <c r="G1" s="8" t="s">
        <v>53</v>
      </c>
      <c r="H1" s="8"/>
      <c r="I1" s="8"/>
      <c r="J1" s="8"/>
      <c r="K1" s="8"/>
      <c r="L1" s="8"/>
      <c r="M1" s="8"/>
      <c r="N1" s="8"/>
      <c r="O1" s="8"/>
      <c r="P1" s="8"/>
      <c r="Q1" s="8"/>
      <c r="R1" s="8"/>
      <c r="S1" s="8"/>
      <c r="T1" s="8"/>
      <c r="U1" s="8"/>
      <c r="V1" s="8"/>
      <c r="W1" s="8"/>
      <c r="X1" s="8"/>
      <c r="AI1" s="6" t="s">
        <v>46</v>
      </c>
      <c r="AJ1" s="5" t="s">
        <v>52</v>
      </c>
    </row>
    <row r="2" spans="1:36" x14ac:dyDescent="0.3">
      <c r="A2" s="5" t="s">
        <v>11</v>
      </c>
      <c r="B2" s="4">
        <v>2043</v>
      </c>
      <c r="AI2" s="5" t="s">
        <v>45</v>
      </c>
      <c r="AJ2" s="7">
        <v>5276526.7583999997</v>
      </c>
    </row>
    <row r="3" spans="1:36" x14ac:dyDescent="0.3">
      <c r="A3" s="5" t="s">
        <v>7</v>
      </c>
      <c r="B3" s="4">
        <v>2051</v>
      </c>
      <c r="AI3" s="5" t="s">
        <v>44</v>
      </c>
      <c r="AJ3" s="7">
        <v>16347087.711600101</v>
      </c>
    </row>
    <row r="4" spans="1:36" x14ac:dyDescent="0.3">
      <c r="A4" s="5" t="s">
        <v>4</v>
      </c>
      <c r="B4" s="4">
        <v>2084</v>
      </c>
      <c r="AI4" s="5" t="s">
        <v>47</v>
      </c>
      <c r="AJ4" s="7">
        <v>21623614.470000099</v>
      </c>
    </row>
    <row r="5" spans="1:36" x14ac:dyDescent="0.3">
      <c r="A5" s="5" t="s">
        <v>9</v>
      </c>
      <c r="B5" s="4">
        <v>2093</v>
      </c>
      <c r="AI5" s="5"/>
      <c r="AJ5" s="5"/>
    </row>
    <row r="6" spans="1:36" x14ac:dyDescent="0.3">
      <c r="A6" s="5" t="s">
        <v>10</v>
      </c>
      <c r="B6" s="4">
        <v>2102</v>
      </c>
    </row>
    <row r="7" spans="1:36" x14ac:dyDescent="0.3">
      <c r="A7" s="5" t="s">
        <v>12</v>
      </c>
      <c r="B7" s="4">
        <v>2105</v>
      </c>
    </row>
    <row r="8" spans="1:36" x14ac:dyDescent="0.3">
      <c r="A8" s="5" t="s">
        <v>8</v>
      </c>
      <c r="B8" s="4">
        <v>2119</v>
      </c>
    </row>
    <row r="9" spans="1:36" x14ac:dyDescent="0.3">
      <c r="A9" s="5" t="s">
        <v>6</v>
      </c>
      <c r="B9" s="4">
        <v>2124</v>
      </c>
    </row>
    <row r="10" spans="1:36" x14ac:dyDescent="0.3">
      <c r="A10" s="5" t="s">
        <v>5</v>
      </c>
      <c r="B10" s="4">
        <v>2145</v>
      </c>
    </row>
    <row r="11" spans="1:36" x14ac:dyDescent="0.3">
      <c r="A11" s="5" t="s">
        <v>47</v>
      </c>
      <c r="B11" s="4">
        <v>18866</v>
      </c>
    </row>
    <row r="20" spans="1:37" x14ac:dyDescent="0.3">
      <c r="A20" s="1" t="s">
        <v>46</v>
      </c>
      <c r="B20" t="s">
        <v>49</v>
      </c>
      <c r="AH20" s="5"/>
      <c r="AI20" s="6" t="s">
        <v>46</v>
      </c>
      <c r="AJ20" s="5" t="s">
        <v>50</v>
      </c>
      <c r="AK20" s="5"/>
    </row>
    <row r="21" spans="1:37" x14ac:dyDescent="0.3">
      <c r="A21" s="5" t="s">
        <v>17</v>
      </c>
      <c r="B21" s="4">
        <v>3812</v>
      </c>
      <c r="AH21" s="5"/>
      <c r="AI21" s="5" t="s">
        <v>29</v>
      </c>
      <c r="AJ21" s="4">
        <v>3093</v>
      </c>
      <c r="AK21" s="5"/>
    </row>
    <row r="22" spans="1:37" x14ac:dyDescent="0.3">
      <c r="A22" s="5" t="s">
        <v>20</v>
      </c>
      <c r="B22" s="4">
        <v>3682</v>
      </c>
      <c r="AH22" s="5"/>
      <c r="AI22" s="5" t="s">
        <v>25</v>
      </c>
      <c r="AJ22" s="4">
        <v>3180</v>
      </c>
      <c r="AK22" s="5"/>
    </row>
    <row r="23" spans="1:37" x14ac:dyDescent="0.3">
      <c r="A23" s="5" t="s">
        <v>18</v>
      </c>
      <c r="B23" s="4">
        <v>3775</v>
      </c>
      <c r="AH23" s="5"/>
      <c r="AI23" s="5" t="s">
        <v>24</v>
      </c>
      <c r="AJ23" s="4">
        <v>3198</v>
      </c>
      <c r="AK23" s="5"/>
    </row>
    <row r="24" spans="1:37" x14ac:dyDescent="0.3">
      <c r="A24" s="5" t="s">
        <v>19</v>
      </c>
      <c r="B24" s="4">
        <v>3740</v>
      </c>
      <c r="AH24" s="5"/>
      <c r="AI24" s="5" t="s">
        <v>28</v>
      </c>
      <c r="AJ24" s="4">
        <v>3103</v>
      </c>
      <c r="AK24" s="5"/>
    </row>
    <row r="25" spans="1:37" x14ac:dyDescent="0.3">
      <c r="A25" s="5" t="s">
        <v>16</v>
      </c>
      <c r="B25" s="4">
        <v>3857</v>
      </c>
      <c r="AH25" s="5"/>
      <c r="AI25" s="5" t="s">
        <v>27</v>
      </c>
      <c r="AJ25" s="4">
        <v>3113</v>
      </c>
      <c r="AK25" s="5"/>
    </row>
    <row r="26" spans="1:37" x14ac:dyDescent="0.3">
      <c r="A26" s="5" t="s">
        <v>47</v>
      </c>
      <c r="B26" s="4">
        <v>18866</v>
      </c>
      <c r="AH26" s="5"/>
      <c r="AI26" s="5" t="s">
        <v>26</v>
      </c>
      <c r="AJ26" s="4">
        <v>3179</v>
      </c>
      <c r="AK26" s="5"/>
    </row>
    <row r="27" spans="1:37" x14ac:dyDescent="0.3">
      <c r="B27" s="5"/>
      <c r="AH27" s="5"/>
      <c r="AI27" s="5" t="s">
        <v>47</v>
      </c>
      <c r="AJ27" s="4">
        <v>18866</v>
      </c>
      <c r="AK27" s="5"/>
    </row>
    <row r="28" spans="1:37" x14ac:dyDescent="0.3">
      <c r="AH28" s="5"/>
      <c r="AI28" s="5"/>
      <c r="AJ28" s="5"/>
      <c r="AK28" s="5"/>
    </row>
    <row r="40" spans="1:2" x14ac:dyDescent="0.3">
      <c r="A40" s="1" t="s">
        <v>46</v>
      </c>
      <c r="B40" t="s">
        <v>51</v>
      </c>
    </row>
    <row r="41" spans="1:2" x14ac:dyDescent="0.3">
      <c r="A41" s="2" t="s">
        <v>34</v>
      </c>
      <c r="B41" s="3">
        <v>3178</v>
      </c>
    </row>
    <row r="42" spans="1:2" x14ac:dyDescent="0.3">
      <c r="A42" s="2" t="s">
        <v>35</v>
      </c>
      <c r="B42" s="3">
        <v>3174</v>
      </c>
    </row>
    <row r="43" spans="1:2" x14ac:dyDescent="0.3">
      <c r="A43" s="2" t="s">
        <v>36</v>
      </c>
      <c r="B43" s="3">
        <v>3140</v>
      </c>
    </row>
    <row r="44" spans="1:2" x14ac:dyDescent="0.3">
      <c r="A44" s="2" t="s">
        <v>37</v>
      </c>
      <c r="B44" s="3">
        <v>3127</v>
      </c>
    </row>
    <row r="45" spans="1:2" x14ac:dyDescent="0.3">
      <c r="A45" s="2" t="s">
        <v>39</v>
      </c>
      <c r="B45" s="3">
        <v>3121</v>
      </c>
    </row>
    <row r="46" spans="1:2" x14ac:dyDescent="0.3">
      <c r="A46" s="2" t="s">
        <v>38</v>
      </c>
      <c r="B46" s="3">
        <v>3126</v>
      </c>
    </row>
    <row r="47" spans="1:2" x14ac:dyDescent="0.3">
      <c r="A47" s="5" t="s">
        <v>47</v>
      </c>
      <c r="B47" s="4">
        <v>18866</v>
      </c>
    </row>
  </sheetData>
  <mergeCells count="1">
    <mergeCell ref="G1:X1"/>
  </mergeCells>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workbookViewId="0">
      <selection activeCell="C4" sqref="C4"/>
    </sheetView>
  </sheetViews>
  <sheetFormatPr defaultRowHeight="14.4" x14ac:dyDescent="0.3"/>
  <sheetData>
    <row r="1" spans="1:4" x14ac:dyDescent="0.3">
      <c r="A1" t="s">
        <v>0</v>
      </c>
      <c r="B1" t="s">
        <v>1</v>
      </c>
      <c r="C1" t="s">
        <v>2</v>
      </c>
      <c r="D1" t="s">
        <v>3</v>
      </c>
    </row>
    <row r="2" spans="1:4" x14ac:dyDescent="0.3">
      <c r="A2" t="s">
        <v>4</v>
      </c>
      <c r="B2">
        <v>2736</v>
      </c>
      <c r="C2">
        <v>2084</v>
      </c>
      <c r="D2">
        <v>76.17</v>
      </c>
    </row>
    <row r="3" spans="1:4" x14ac:dyDescent="0.3">
      <c r="A3" t="s">
        <v>5</v>
      </c>
      <c r="B3">
        <v>2818</v>
      </c>
      <c r="C3">
        <v>2145</v>
      </c>
      <c r="D3">
        <v>76.12</v>
      </c>
    </row>
    <row r="4" spans="1:4" x14ac:dyDescent="0.3">
      <c r="A4" t="s">
        <v>6</v>
      </c>
      <c r="B4">
        <v>2802</v>
      </c>
      <c r="C4">
        <v>2124</v>
      </c>
      <c r="D4">
        <v>75.8</v>
      </c>
    </row>
    <row r="5" spans="1:4" x14ac:dyDescent="0.3">
      <c r="A5" t="s">
        <v>7</v>
      </c>
      <c r="B5">
        <v>2711</v>
      </c>
      <c r="C5">
        <v>2051</v>
      </c>
      <c r="D5">
        <v>75.650000000000006</v>
      </c>
    </row>
    <row r="6" spans="1:4" x14ac:dyDescent="0.3">
      <c r="A6" t="s">
        <v>8</v>
      </c>
      <c r="B6">
        <v>2801</v>
      </c>
      <c r="C6">
        <v>2119</v>
      </c>
      <c r="D6">
        <v>75.650000000000006</v>
      </c>
    </row>
    <row r="7" spans="1:4" x14ac:dyDescent="0.3">
      <c r="A7" t="s">
        <v>9</v>
      </c>
      <c r="B7">
        <v>2786</v>
      </c>
      <c r="C7">
        <v>2093</v>
      </c>
      <c r="D7">
        <v>75.13</v>
      </c>
    </row>
    <row r="8" spans="1:4" x14ac:dyDescent="0.3">
      <c r="A8" t="s">
        <v>10</v>
      </c>
      <c r="B8">
        <v>2798</v>
      </c>
      <c r="C8">
        <v>2102</v>
      </c>
      <c r="D8">
        <v>75.13</v>
      </c>
    </row>
    <row r="9" spans="1:4" x14ac:dyDescent="0.3">
      <c r="A9" t="s">
        <v>11</v>
      </c>
      <c r="B9">
        <v>2722</v>
      </c>
      <c r="C9">
        <v>2043</v>
      </c>
      <c r="D9">
        <v>75.06</v>
      </c>
    </row>
    <row r="10" spans="1:4" x14ac:dyDescent="0.3">
      <c r="A10" t="s">
        <v>12</v>
      </c>
      <c r="B10">
        <v>2826</v>
      </c>
      <c r="C10">
        <v>2105</v>
      </c>
      <c r="D10">
        <v>74.489999999999995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84B67-5CFD-42F0-9FE3-A90CF5C6D1E6}">
  <dimension ref="A1:C6"/>
  <sheetViews>
    <sheetView workbookViewId="0">
      <selection sqref="A1:C6"/>
    </sheetView>
  </sheetViews>
  <sheetFormatPr defaultRowHeight="14.4" x14ac:dyDescent="0.3"/>
  <cols>
    <col min="1" max="1" width="11.88671875" customWidth="1"/>
    <col min="2" max="2" width="17.6640625" customWidth="1"/>
    <col min="3" max="3" width="12.88671875" customWidth="1"/>
  </cols>
  <sheetData>
    <row r="1" spans="1:3" x14ac:dyDescent="0.3">
      <c r="A1" t="s">
        <v>13</v>
      </c>
      <c r="B1" t="s">
        <v>14</v>
      </c>
      <c r="C1" t="s">
        <v>15</v>
      </c>
    </row>
    <row r="2" spans="1:3" x14ac:dyDescent="0.3">
      <c r="A2" t="s">
        <v>16</v>
      </c>
      <c r="B2">
        <v>5095</v>
      </c>
      <c r="C2">
        <v>3857</v>
      </c>
    </row>
    <row r="3" spans="1:3" x14ac:dyDescent="0.3">
      <c r="A3" t="s">
        <v>17</v>
      </c>
      <c r="B3">
        <v>5060</v>
      </c>
      <c r="C3">
        <v>3812</v>
      </c>
    </row>
    <row r="4" spans="1:3" x14ac:dyDescent="0.3">
      <c r="A4" t="s">
        <v>18</v>
      </c>
      <c r="B4">
        <v>4949</v>
      </c>
      <c r="C4">
        <v>3775</v>
      </c>
    </row>
    <row r="5" spans="1:3" x14ac:dyDescent="0.3">
      <c r="A5" t="s">
        <v>19</v>
      </c>
      <c r="B5">
        <v>4977</v>
      </c>
      <c r="C5">
        <v>3740</v>
      </c>
    </row>
    <row r="6" spans="1:3" x14ac:dyDescent="0.3">
      <c r="A6" t="s">
        <v>20</v>
      </c>
      <c r="B6">
        <v>4919</v>
      </c>
      <c r="C6">
        <v>3682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F3A65-AF93-451E-AEC0-9BCA08543BCB}">
  <dimension ref="A1:D7"/>
  <sheetViews>
    <sheetView workbookViewId="0">
      <selection activeCell="D5" sqref="A1:D7"/>
    </sheetView>
  </sheetViews>
  <sheetFormatPr defaultRowHeight="14.4" x14ac:dyDescent="0.3"/>
  <sheetData>
    <row r="1" spans="1:4" x14ac:dyDescent="0.3">
      <c r="A1" t="s">
        <v>21</v>
      </c>
      <c r="B1" t="s">
        <v>1</v>
      </c>
      <c r="C1" t="s">
        <v>22</v>
      </c>
      <c r="D1" t="s">
        <v>23</v>
      </c>
    </row>
    <row r="2" spans="1:4" x14ac:dyDescent="0.3">
      <c r="A2" t="s">
        <v>24</v>
      </c>
      <c r="B2">
        <v>4219</v>
      </c>
      <c r="C2">
        <v>3198</v>
      </c>
      <c r="D2">
        <v>862.68</v>
      </c>
    </row>
    <row r="3" spans="1:4" x14ac:dyDescent="0.3">
      <c r="A3" t="s">
        <v>25</v>
      </c>
      <c r="B3">
        <v>4158</v>
      </c>
      <c r="C3">
        <v>3180</v>
      </c>
      <c r="D3">
        <v>866.78</v>
      </c>
    </row>
    <row r="4" spans="1:4" x14ac:dyDescent="0.3">
      <c r="A4" t="s">
        <v>26</v>
      </c>
      <c r="B4">
        <v>4198</v>
      </c>
      <c r="C4">
        <v>3179</v>
      </c>
      <c r="D4">
        <v>859.25</v>
      </c>
    </row>
    <row r="5" spans="1:4" x14ac:dyDescent="0.3">
      <c r="A5" t="s">
        <v>27</v>
      </c>
      <c r="B5">
        <v>4171</v>
      </c>
      <c r="C5">
        <v>3113</v>
      </c>
      <c r="D5">
        <v>867.47</v>
      </c>
    </row>
    <row r="6" spans="1:4" x14ac:dyDescent="0.3">
      <c r="A6" t="s">
        <v>28</v>
      </c>
      <c r="B6">
        <v>4130</v>
      </c>
      <c r="C6">
        <v>3103</v>
      </c>
      <c r="D6">
        <v>868.23</v>
      </c>
    </row>
    <row r="7" spans="1:4" x14ac:dyDescent="0.3">
      <c r="A7" t="s">
        <v>29</v>
      </c>
      <c r="B7">
        <v>4124</v>
      </c>
      <c r="C7">
        <v>3093</v>
      </c>
      <c r="D7">
        <v>865.37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A5364-7F38-4788-9F44-85683ECE8CD8}">
  <dimension ref="A1:D7"/>
  <sheetViews>
    <sheetView workbookViewId="0">
      <selection sqref="A1:D7"/>
    </sheetView>
  </sheetViews>
  <sheetFormatPr defaultRowHeight="14.4" x14ac:dyDescent="0.3"/>
  <sheetData>
    <row r="1" spans="1:4" x14ac:dyDescent="0.3">
      <c r="A1" t="s">
        <v>30</v>
      </c>
      <c r="B1" t="s">
        <v>31</v>
      </c>
      <c r="C1" t="s">
        <v>32</v>
      </c>
      <c r="D1" t="s">
        <v>33</v>
      </c>
    </row>
    <row r="2" spans="1:4" x14ac:dyDescent="0.3">
      <c r="A2" t="s">
        <v>34</v>
      </c>
      <c r="B2">
        <v>4160</v>
      </c>
      <c r="C2">
        <v>3178</v>
      </c>
      <c r="D2">
        <v>151.41999999999999</v>
      </c>
    </row>
    <row r="3" spans="1:4" x14ac:dyDescent="0.3">
      <c r="A3" t="s">
        <v>35</v>
      </c>
      <c r="B3">
        <v>4218</v>
      </c>
      <c r="C3">
        <v>3174</v>
      </c>
      <c r="D3">
        <v>151.04</v>
      </c>
    </row>
    <row r="4" spans="1:4" x14ac:dyDescent="0.3">
      <c r="A4" t="s">
        <v>36</v>
      </c>
      <c r="B4">
        <v>4116</v>
      </c>
      <c r="C4">
        <v>3140</v>
      </c>
      <c r="D4">
        <v>150.68</v>
      </c>
    </row>
    <row r="5" spans="1:4" x14ac:dyDescent="0.3">
      <c r="A5" t="s">
        <v>37</v>
      </c>
      <c r="B5">
        <v>4174</v>
      </c>
      <c r="C5">
        <v>3127</v>
      </c>
      <c r="D5">
        <v>150.16</v>
      </c>
    </row>
    <row r="6" spans="1:4" x14ac:dyDescent="0.3">
      <c r="A6" t="s">
        <v>38</v>
      </c>
      <c r="B6">
        <v>4187</v>
      </c>
      <c r="C6">
        <v>3126</v>
      </c>
      <c r="D6">
        <v>148.77000000000001</v>
      </c>
    </row>
    <row r="7" spans="1:4" x14ac:dyDescent="0.3">
      <c r="A7" t="s">
        <v>39</v>
      </c>
      <c r="B7">
        <v>4145</v>
      </c>
      <c r="C7">
        <v>3121</v>
      </c>
      <c r="D7">
        <v>150.27000000000001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B448C-60ED-4AD3-9F40-0A8917E6C06A}">
  <dimension ref="A1:D3"/>
  <sheetViews>
    <sheetView zoomScale="86" workbookViewId="0">
      <selection activeCell="B2" sqref="A1:D3"/>
    </sheetView>
  </sheetViews>
  <sheetFormatPr defaultRowHeight="14.4" x14ac:dyDescent="0.3"/>
  <cols>
    <col min="1" max="1" width="16.6640625" customWidth="1"/>
    <col min="2" max="2" width="17.44140625" customWidth="1"/>
    <col min="3" max="3" width="27.6640625" customWidth="1"/>
    <col min="4" max="4" width="18.21875" customWidth="1"/>
  </cols>
  <sheetData>
    <row r="1" spans="1:4" x14ac:dyDescent="0.3">
      <c r="A1" t="s">
        <v>40</v>
      </c>
      <c r="B1" t="s">
        <v>41</v>
      </c>
      <c r="C1" t="s">
        <v>42</v>
      </c>
      <c r="D1" t="s">
        <v>43</v>
      </c>
    </row>
    <row r="2" spans="1:4" x14ac:dyDescent="0.3">
      <c r="A2" t="s">
        <v>44</v>
      </c>
      <c r="B2">
        <v>18866</v>
      </c>
      <c r="C2">
        <v>16347087.711600101</v>
      </c>
      <c r="D2">
        <v>866.48</v>
      </c>
    </row>
    <row r="3" spans="1:4" x14ac:dyDescent="0.3">
      <c r="A3" t="s">
        <v>45</v>
      </c>
      <c r="B3">
        <v>6134</v>
      </c>
      <c r="C3">
        <v>5276526.7583999997</v>
      </c>
      <c r="D3">
        <v>860.21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Carrier_KPI</vt:lpstr>
      <vt:lpstr>Regional_Analysis</vt:lpstr>
      <vt:lpstr>Weather_Impact</vt:lpstr>
      <vt:lpstr>Vehicle_Trends</vt:lpstr>
      <vt:lpstr>Financial_Impact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Vishwanath</dc:creator>
  <cp:lastModifiedBy>ak47vishwanath@outlook.com</cp:lastModifiedBy>
  <cp:lastPrinted>2026-01-12T18:33:03Z</cp:lastPrinted>
  <dcterms:created xsi:type="dcterms:W3CDTF">2015-06-05T18:17:20Z</dcterms:created>
  <dcterms:modified xsi:type="dcterms:W3CDTF">2026-01-12T18:36:57Z</dcterms:modified>
</cp:coreProperties>
</file>